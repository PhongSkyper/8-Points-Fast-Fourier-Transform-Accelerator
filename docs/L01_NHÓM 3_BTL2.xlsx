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ANY_THINGS\HCMUT_BKU\Bachelor's_Degree\2025-2026\251_Semester\Digital_System_Design_&amp;_Verification\ESSAY_2\"/>
    </mc:Choice>
  </mc:AlternateContent>
  <xr:revisionPtr revIDLastSave="0" documentId="13_ncr:1_{1DBB1D30-E620-4293-A7F0-007A929B65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 a="1"/>
  <c r="G6" i="1" s="1"/>
  <c r="I6" i="1" s="1"/>
  <c r="G7" i="1" a="1"/>
  <c r="G7" i="1" s="1"/>
  <c r="H7" i="1" a="1"/>
  <c r="H7" i="1" s="1"/>
  <c r="G8" i="1" a="1"/>
  <c r="G8" i="1" s="1"/>
  <c r="H8" i="1" a="1"/>
  <c r="H8" i="1" s="1"/>
  <c r="G9" i="1" a="1"/>
  <c r="G9" i="1" s="1"/>
  <c r="H9" i="1" a="1"/>
  <c r="H9" i="1" s="1"/>
  <c r="G10" i="1" a="1"/>
  <c r="G10" i="1" s="1"/>
  <c r="H10" i="1" a="1"/>
  <c r="H10" i="1" s="1"/>
  <c r="G11" i="1" a="1"/>
  <c r="G11" i="1" s="1"/>
  <c r="H11" i="1" a="1"/>
  <c r="H11" i="1" s="1"/>
  <c r="G12" i="1" a="1"/>
  <c r="G12" i="1" s="1"/>
  <c r="H12" i="1" a="1"/>
  <c r="H12" i="1" s="1"/>
  <c r="G13" i="1" a="1"/>
  <c r="G13" i="1" s="1"/>
  <c r="H13" i="1" a="1"/>
  <c r="H13" i="1" s="1"/>
  <c r="H6" i="1" a="1"/>
  <c r="H6" i="1" s="1"/>
  <c r="I10" i="1" l="1"/>
  <c r="I8" i="1"/>
  <c r="I9" i="1"/>
  <c r="I12" i="1"/>
  <c r="I11" i="1"/>
  <c r="I7" i="1"/>
  <c r="I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<sst xmlns="http://schemas.openxmlformats.org/spreadsheetml/2006/main" count="11" uniqueCount="11">
  <si>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n (Index mẫu vào)</t>
  </si>
  <si>
    <t>Real Input</t>
  </si>
  <si>
    <t>Image Input</t>
  </si>
  <si>
    <t>k</t>
  </si>
  <si>
    <t>Real Output</t>
  </si>
  <si>
    <t>Image Output</t>
  </si>
  <si>
    <t>Magnitude</t>
  </si>
  <si>
    <t>INPUT</t>
  </si>
  <si>
    <t>OUTPUT</t>
  </si>
  <si>
    <t>(Số điểm) N =</t>
  </si>
  <si>
    <t>BẢNG TÍNH FFT N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</si>
</sst>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2" fillId="6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66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"/>
  <sheetViews>
    <sheetView tabSelected="1" workbookViewId="0">
      <selection activeCell="J5" sqref="J5"/>
    </sheetView>
  </sheetViews>
  <sheetFormatPr defaultRowHeight="13.8" x14ac:dyDescent="0.25"/>
  <cols>
    <col min="1" max="1" width="3.77734375" style="2" customWidth="1"/>
    <col min="2" max="2" width="16.77734375" style="2" customWidth="1"/>
    <col min="3" max="3" width="15.77734375" style="2" customWidth="1"/>
    <col min="4" max="4" width="15.109375" style="2" customWidth="1"/>
    <col min="5" max="5" width="1.88671875" style="2" customWidth="1"/>
    <col min="6" max="6" width="8.88671875" style="2"/>
    <col min="7" max="7" width="12.6640625" style="2" customWidth="1"/>
    <col min="8" max="8" width="14.88671875" style="2" customWidth="1"/>
    <col min="9" max="9" width="15" style="2" customWidth="1"/>
    <col min="10" max="10" width="8.88671875" style="2"/>
    <col min="11" max="11" width="9.21875" style="2" bestFit="1" customWidth="1"/>
    <col min="12" max="16384" width="8.88671875" style="2"/>
  </cols>
  <sheetData>
    <row r="1" spans="2:9" ht="10.199999999999999" customHeight="1" x14ac:dyDescent="0.25"/>
    <row r="2" spans="2:9" ht="17.399999999999999" x14ac:dyDescent="0.3">
      <c r="B2" s="9" t="s">
        <v>10</v>
      </c>
      <c r="C2" s="9"/>
      <c r="D2" s="9"/>
      <c r="E2" s="9"/>
      <c r="F2" s="9"/>
      <c r="G2" s="9"/>
      <c r="H2" s="9"/>
      <c r="I2" s="9"/>
    </row>
    <row r="3" spans="2:9" x14ac:dyDescent="0.25">
      <c r="B3" s="11" t="s">
        <v>9</v>
      </c>
      <c r="C3" s="12">
        <v>8</v>
      </c>
      <c r="D3" s="3"/>
      <c r="E3" s="4"/>
      <c r="F3" s="4"/>
      <c r="G3" s="4"/>
      <c r="H3" s="4"/>
      <c r="I3" s="4"/>
    </row>
    <row r="4" spans="2:9" x14ac:dyDescent="0.25">
      <c r="B4" s="13" t="s">
        <v>7</v>
      </c>
      <c r="C4" s="13"/>
      <c r="D4" s="13"/>
      <c r="E4" s="5"/>
      <c r="F4" s="7" t="s">
        <v>8</v>
      </c>
      <c r="G4" s="7"/>
      <c r="H4" s="7"/>
      <c r="I4" s="7"/>
    </row>
    <row r="5" spans="2:9" x14ac:dyDescent="0.25">
      <c r="B5" s="14" t="s">
        <v>0</v>
      </c>
      <c r="C5" s="14" t="s">
        <v>1</v>
      </c>
      <c r="D5" s="14" t="s">
        <v>2</v>
      </c>
      <c r="E5" s="5"/>
      <c r="F5" s="8" t="s">
        <v>3</v>
      </c>
      <c r="G5" s="8" t="s">
        <v>4</v>
      </c>
      <c r="H5" s="8" t="s">
        <v>5</v>
      </c>
      <c r="I5" s="8" t="s">
        <v>6</v>
      </c>
    </row>
    <row r="6" spans="2:9" ht="15.6" x14ac:dyDescent="0.25">
      <c r="B6" s="6">
        <v>0</v>
      </c>
      <c r="C6" s="1">
        <v>2.0093000000000001</v>
      </c>
      <c r="D6" s="1">
        <v>-3.2505000000000002</v>
      </c>
      <c r="E6" s="5"/>
      <c r="F6" s="6">
        <v>0</v>
      </c>
      <c r="G6" s="6" cm="1">
        <f t="array" ref="G6">SUMPRODUCT($C$6:$C$13, COS(2*PI()*F6*$B$6:$B$13/$C$3)) + SUMPRODUCT($D$6:$D$13, SIN(2*PI()*F6*$B$6:$B$13/$C$3))</f>
        <v>26.178799999999999</v>
      </c>
      <c r="H6" s="6" cm="1">
        <f t="array" ref="H6">SUMPRODUCT($D$6:$D$13, COS(2*PI()*F6*$B$6:$B$13/$C$3)) - SUMPRODUCT($C$6:$C$13, SIN(2*PI()*F6*$B$6:$B$13/$C$3))</f>
        <v>16.593699999999998</v>
      </c>
      <c r="I6" s="6">
        <f>SQRT(G6^2 + H6^2)</f>
        <v>30.994845525183699</v>
      </c>
    </row>
    <row r="7" spans="2:9" ht="15.6" x14ac:dyDescent="0.25">
      <c r="B7" s="15">
        <v>1</v>
      </c>
      <c r="C7" s="16">
        <v>8.3095999999999997</v>
      </c>
      <c r="D7" s="16">
        <v>-0.77490000000000003</v>
      </c>
      <c r="E7" s="5"/>
      <c r="F7" s="10">
        <v>1</v>
      </c>
      <c r="G7" s="10" cm="1">
        <f t="array" ref="G7">SUMPRODUCT($C$6:$C$13, COS(2*PI()*F7*$B$6:$B$13/$C$3)) + SUMPRODUCT($D$6:$D$13, SIN(2*PI()*F7*$B$6:$B$13/$C$3))</f>
        <v>9.7283296098147414</v>
      </c>
      <c r="H7" s="10" cm="1">
        <f t="array" ref="H7">SUMPRODUCT($D$6:$D$13, COS(2*PI()*F7*$B$6:$B$13/$C$3)) - SUMPRODUCT($C$6:$C$13, SIN(2*PI()*F7*$B$6:$B$13/$C$3))</f>
        <v>-18.282775547006114</v>
      </c>
      <c r="I7" s="10">
        <f t="shared" ref="I7:I13" si="0">SQRT(G7^2 + H7^2)</f>
        <v>20.709907742416501</v>
      </c>
    </row>
    <row r="8" spans="2:9" ht="15.6" x14ac:dyDescent="0.25">
      <c r="B8" s="6">
        <v>2</v>
      </c>
      <c r="C8" s="1">
        <v>7.8467000000000002</v>
      </c>
      <c r="D8" s="1">
        <v>7.7728999999999999</v>
      </c>
      <c r="E8" s="5"/>
      <c r="F8" s="6">
        <v>2</v>
      </c>
      <c r="G8" s="6" cm="1">
        <f t="array" ref="G8">SUMPRODUCT($C$6:$C$13, COS(2*PI()*F8*$B$6:$B$13/$C$3)) + SUMPRODUCT($D$6:$D$13, SIN(2*PI()*F8*$B$6:$B$13/$C$3))</f>
        <v>-17.799700000000001</v>
      </c>
      <c r="H8" s="6" cm="1">
        <f t="array" ref="H8">SUMPRODUCT($D$6:$D$13, COS(2*PI()*F8*$B$6:$B$13/$C$3)) - SUMPRODUCT($C$6:$C$13, SIN(2*PI()*F8*$B$6:$B$13/$C$3))</f>
        <v>-13.832000000000004</v>
      </c>
      <c r="I8" s="6">
        <f t="shared" si="0"/>
        <v>22.542261290518308</v>
      </c>
    </row>
    <row r="9" spans="2:9" ht="15.6" x14ac:dyDescent="0.25">
      <c r="B9" s="15">
        <v>3</v>
      </c>
      <c r="C9" s="16">
        <v>3.6343000000000001</v>
      </c>
      <c r="D9" s="16">
        <v>0.90480000000000005</v>
      </c>
      <c r="E9" s="5"/>
      <c r="F9" s="10">
        <v>3</v>
      </c>
      <c r="G9" s="10" cm="1">
        <f t="array" ref="G9">SUMPRODUCT($C$6:$C$13, COS(2*PI()*F9*$B$6:$B$13/$C$3)) + SUMPRODUCT($D$6:$D$13, SIN(2*PI()*F9*$B$6:$B$13/$C$3))</f>
        <v>-2.8717642412751401</v>
      </c>
      <c r="H9" s="10" cm="1">
        <f t="array" ref="H9">SUMPRODUCT($D$6:$D$13, COS(2*PI()*F9*$B$6:$B$13/$C$3)) - SUMPRODUCT($C$6:$C$13, SIN(2*PI()*F9*$B$6:$B$13/$C$3))</f>
        <v>-14.313887170679045</v>
      </c>
      <c r="I9" s="10">
        <f t="shared" si="0"/>
        <v>14.599123117242238</v>
      </c>
    </row>
    <row r="10" spans="2:9" ht="15.6" x14ac:dyDescent="0.25">
      <c r="B10" s="6">
        <v>4</v>
      </c>
      <c r="C10" s="1">
        <v>-1.6395999999999999</v>
      </c>
      <c r="D10" s="1">
        <v>6.5922999999999998</v>
      </c>
      <c r="E10" s="5"/>
      <c r="F10" s="6">
        <v>4</v>
      </c>
      <c r="G10" s="6" cm="1">
        <f t="array" ref="G10">SUMPRODUCT($C$6:$C$13, COS(2*PI()*F10*$B$6:$B$13/$C$3)) + SUMPRODUCT($D$6:$D$13, SIN(2*PI()*F10*$B$6:$B$13/$C$3))</f>
        <v>-3.3378000000000072</v>
      </c>
      <c r="H10" s="6" cm="1">
        <f t="array" ref="H10">SUMPRODUCT($D$6:$D$13, COS(2*PI()*F10*$B$6:$B$13/$C$3)) - SUMPRODUCT($C$6:$C$13, SIN(2*PI()*F10*$B$6:$B$13/$C$3))</f>
        <v>15.450099999999997</v>
      </c>
      <c r="I10" s="6">
        <f t="shared" si="0"/>
        <v>15.806533422923572</v>
      </c>
    </row>
    <row r="11" spans="2:9" ht="15.6" x14ac:dyDescent="0.25">
      <c r="B11" s="15">
        <v>5</v>
      </c>
      <c r="C11" s="16">
        <v>1.3164</v>
      </c>
      <c r="D11" s="16">
        <v>-2.4984999999999999</v>
      </c>
      <c r="E11" s="5"/>
      <c r="F11" s="10">
        <v>5</v>
      </c>
      <c r="G11" s="10" cm="1">
        <f t="array" ref="G11">SUMPRODUCT($C$6:$C$13, COS(2*PI()*F11*$B$6:$B$13/$C$3)) + SUMPRODUCT($D$6:$D$13, SIN(2*PI()*F11*$B$6:$B$13/$C$3))</f>
        <v>3.3008703901852599</v>
      </c>
      <c r="H11" s="10" cm="1">
        <f t="array" ref="H11">SUMPRODUCT($D$6:$D$13, COS(2*PI()*F11*$B$6:$B$13/$C$3)) - SUMPRODUCT($C$6:$C$13, SIN(2*PI()*F11*$B$6:$B$13/$C$3))</f>
        <v>-10.68802445299389</v>
      </c>
      <c r="I11" s="10">
        <f t="shared" si="0"/>
        <v>11.186134812373625</v>
      </c>
    </row>
    <row r="12" spans="2:9" ht="15.6" x14ac:dyDescent="0.25">
      <c r="B12" s="6">
        <v>6</v>
      </c>
      <c r="C12" s="1">
        <v>3.2040999999999999</v>
      </c>
      <c r="D12" s="1">
        <v>4.9071999999999996</v>
      </c>
      <c r="E12" s="5"/>
      <c r="F12" s="6">
        <v>6</v>
      </c>
      <c r="G12" s="6" cm="1">
        <f t="array" ref="G12">SUMPRODUCT($C$6:$C$13, COS(2*PI()*F12*$B$6:$B$13/$C$3)) + SUMPRODUCT($D$6:$D$13, SIN(2*PI()*F12*$B$6:$B$13/$C$3))</f>
        <v>-3.5624999999999982</v>
      </c>
      <c r="H12" s="6" cm="1">
        <f t="array" ref="H12">SUMPRODUCT($D$6:$D$13, COS(2*PI()*F12*$B$6:$B$13/$C$3)) - SUMPRODUCT($C$6:$C$13, SIN(2*PI()*F12*$B$6:$B$13/$C$3))</f>
        <v>-4.8446000000000033</v>
      </c>
      <c r="I12" s="6">
        <f t="shared" si="0"/>
        <v>6.0134478803761171</v>
      </c>
    </row>
    <row r="13" spans="2:9" ht="15.6" x14ac:dyDescent="0.25">
      <c r="B13" s="15">
        <v>7</v>
      </c>
      <c r="C13" s="16">
        <v>1.498</v>
      </c>
      <c r="D13" s="16">
        <v>2.9403999999999999</v>
      </c>
      <c r="E13" s="5"/>
      <c r="F13" s="10">
        <v>7</v>
      </c>
      <c r="G13" s="10" cm="1">
        <f t="array" ref="G13">SUMPRODUCT($C$6:$C$13, COS(2*PI()*F13*$B$6:$B$13/$C$3)) + SUMPRODUCT($D$6:$D$13, SIN(2*PI()*F13*$B$6:$B$13/$C$3))</f>
        <v>4.4381642412751372</v>
      </c>
      <c r="H13" s="10" cm="1">
        <f t="array" ref="H13">SUMPRODUCT($D$6:$D$13, COS(2*PI()*F13*$B$6:$B$13/$C$3)) - SUMPRODUCT($C$6:$C$13, SIN(2*PI()*F13*$B$6:$B$13/$C$3))</f>
        <v>3.9134871706790602</v>
      </c>
      <c r="I13" s="10">
        <f t="shared" si="0"/>
        <v>5.9171516515636906</v>
      </c>
    </row>
  </sheetData>
  <mergeCells count="5">
    <mergeCell ref="B2:I2"/>
    <mergeCell ref="B4:D4"/>
    <mergeCell ref="F4:I4"/>
    <mergeCell ref="D3:I3"/>
    <mergeCell ref="E4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PHONG</dc:creator>
  <cp:lastModifiedBy>thanh phong</cp:lastModifiedBy>
  <dcterms:created xsi:type="dcterms:W3CDTF">2015-06-05T18:17:20Z</dcterms:created>
  <dcterms:modified xsi:type="dcterms:W3CDTF">2026-01-02T13:15:58Z</dcterms:modified>
</cp:coreProperties>
</file>